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athi\"/>
    </mc:Choice>
  </mc:AlternateContent>
  <xr:revisionPtr revIDLastSave="0" documentId="13_ncr:1_{AB54A54B-0EF3-457F-9E9B-533F0C4A60A0}" xr6:coauthVersionLast="47" xr6:coauthVersionMax="47" xr10:uidLastSave="{00000000-0000-0000-0000-000000000000}"/>
  <bookViews>
    <workbookView xWindow="-110" yWindow="-110" windowWidth="19420" windowHeight="10300" xr2:uid="{DF982AD1-4649-4778-8D46-C43C10D0F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M19" i="1"/>
  <c r="M17" i="1"/>
  <c r="M16" i="1"/>
  <c r="M15" i="1"/>
  <c r="M5" i="1"/>
  <c r="N14" i="1"/>
  <c r="N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N27" i="1"/>
  <c r="M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M22" i="1"/>
  <c r="M21" i="1"/>
  <c r="M11" i="1"/>
  <c r="M9" i="1"/>
  <c r="M10" i="1"/>
  <c r="M12" i="1"/>
  <c r="M8" i="1"/>
</calcChain>
</file>

<file path=xl/sharedStrings.xml><?xml version="1.0" encoding="utf-8"?>
<sst xmlns="http://schemas.openxmlformats.org/spreadsheetml/2006/main" count="164" uniqueCount="103">
  <si>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</si>
  <si>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</si>
  <si>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</si>
  <si>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</si>
  <si>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</si>
  <si>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</si>
  <si>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</si>
  <si>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</si>
  <si>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</si>
  <si>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</si>
  <si>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</si>
  <si>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</si>
  <si>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</si>
  <si>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</si>
  <si>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</si>
  <si>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</si>
  <si>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</si>
  <si>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</si>
  <si>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</si>
  <si>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</si>
  <si>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</si>
  <si>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</si>
  <si>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</si>
  <si>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</si>
  <si>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</si>
  <si>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</si>
  <si>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</si>
  <si>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</si>
  <si>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</si>
  <si>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</si>
  <si>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</si>
  <si>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</si>
  <si>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</si>
  <si>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</si>
  <si>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</si>
  <si>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</si>
  <si>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</si>
  <si>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</si>
  <si>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</si>
  <si>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</si>
  <si>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</si>
  <si>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</si>
  <si>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</si>
  <si>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</si>
  <si>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</si>
  <si>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</si>
  <si>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</si>
  <si>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</si>
  <si>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</si>
  <si>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</si>
  <si>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</si>
  <si>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</si>
  <si>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</si>
  <si>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</si>
  <si>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</si>
  <si>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</si>
  <si>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</si>
  <si>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</si>
  <si>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</si>
  <si>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</si>
  <si>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</si>
  <si>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</si>
  <si>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</si>
  <si>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</si>
  <si>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</si>
  <si>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</si>
  <si>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</si>
  <si>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</si>
  <si>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</si>
  <si>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</si>
  <si>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</si>
  <si>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</si>
  <si>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</si>
  <si>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</si>
  <si>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</si>
  <si>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</si>
  <si>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</si>
  <si>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</si>
  <si>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</si>
  <si>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</si>
  <si>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</si>
  <si>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</si>
  <si>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</si>
  <si>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</si>
  <si>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</si>
  <si>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</si>
  <si>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</si>
  <si>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</si>
  <si>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</si>
  <si>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</si>
  <si>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</si>
  <si>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</si>
  <si>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</si>
  <si>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Product count</t>
  </si>
  <si>
    <t>Minimum Price</t>
  </si>
  <si>
    <t>Maximum Price</t>
  </si>
  <si>
    <t>Price Range</t>
  </si>
  <si>
    <t>Total Product Price</t>
  </si>
  <si>
    <t>Total Product Price &lt;100</t>
  </si>
  <si>
    <t>Day</t>
  </si>
  <si>
    <t>Country Code</t>
  </si>
  <si>
    <t>Month</t>
  </si>
  <si>
    <t>Total Product 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</si>
</sst>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3" fillId="0" borderId="1" xfId="1" applyFont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3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6" xfId="1" applyFont="1" applyFill="1" applyBorder="1" applyAlignment="1">
      <alignment horizontal="left"/>
    </xf>
    <xf numFmtId="0" fontId="3" fillId="3" borderId="7" xfId="1" applyFont="1" applyFill="1" applyBorder="1" applyAlignment="1">
      <alignment horizontal="left"/>
    </xf>
    <xf numFmtId="0" fontId="3" fillId="3" borderId="8" xfId="1" applyFont="1" applyFill="1" applyBorder="1" applyAlignment="1">
      <alignment horizontal="left"/>
    </xf>
    <xf numFmtId="0" fontId="3" fillId="3" borderId="9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1" applyFont="1" applyFill="1" applyBorder="1"/>
    <xf numFmtId="0" fontId="2" fillId="5" borderId="5" xfId="1" applyFont="1" applyFill="1" applyBorder="1" applyAlignment="1">
      <alignment horizontal="left"/>
    </xf>
    <xf numFmtId="0" fontId="2" fillId="5" borderId="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9E86323E-E424-49B3-AD61-0A5C4F7480F1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B937D-90C5-4CE5-B5F3-7734AD57201C}" name="Order_DB" displayName="Order_DB" ref="A1:J35" totalsRowShown="0" headerRowDxfId="14" dataDxfId="12" headerRowBorderDxfId="13" tableBorderDxfId="11" totalsRowBorderDxfId="10" headerRowCellStyle="Normal 2" dataCellStyle="Normal 2">
  <autoFilter ref="A1:J35" xr:uid="{C81B937D-90C5-4CE5-B5F3-7734AD57201C}"/>
  <tableColumns count="10">
    <tableColumn id="1" xr3:uid="{DA49BB30-B32F-4A24-A2A2-68B070AAD9CB}" name="Product ID" dataDxfId="9" dataCellStyle="Normal 2"/>
    <tableColumn id="9" xr3:uid="{789BF569-D86A-43F9-8B02-0B43921C8231}" name="Day" dataDxfId="8" dataCellStyle="Normal 2">
      <calculatedColumnFormula>LEFT(Order_DB[[#This Row],[Product ID]],2)</calculatedColumnFormula>
    </tableColumn>
    <tableColumn id="10" xr3:uid="{0A48E42C-4FF6-4DDB-A96C-C3BCC9A455DD}" name="Country Code" dataDxfId="7" dataCellStyle="Normal 2">
      <calculatedColumnFormula>RIGHT(Order_DB[[#This Row],[Product ID]],2)</calculatedColumnFormula>
    </tableColumn>
    <tableColumn id="8" xr3:uid="{9E44598F-8EE5-4C9B-A9B3-5304CA254E05}" name="Month" dataDxfId="6" dataCellStyle="Normal 2">
      <calculatedColumnFormula>MID(Order_DB[[#This Row],[Product ID]],4,3)</calculatedColumnFormula>
    </tableColumn>
    <tableColumn id="2" xr3:uid="{FDC62107-2048-431F-82AB-667783D4D31A}" name="Product Name" dataDxfId="5" dataCellStyle="Normal 2"/>
    <tableColumn id="3" xr3:uid="{76CB1F0D-FFFE-4C29-92AB-20FAD63AE4A1}" name="Brand Name" dataDxfId="4" dataCellStyle="Normal 2"/>
    <tableColumn id="4" xr3:uid="{1669E01A-913D-4BF2-AFF2-DFD3A582F207}" name="Price ($)" dataDxfId="3" dataCellStyle="Normal 2"/>
    <tableColumn id="7" xr3:uid="{84690006-8250-40EE-9E13-B880C9B3423B}" name="Price Range" dataDxfId="2" dataCellStyle="Normal 2">
      <calculatedColumnFormula>IF(Order_DB[[#This Row],[Price ($)]]&gt;500,"High Price","Standard Price")</calculatedColumnFormula>
    </tableColumn>
    <tableColumn id="5" xr3:uid="{288AF5B9-C540-4932-A643-DC901874E50E}" name="Quantity" dataDxfId="1" dataCellStyle="Normal 2"/>
    <tableColumn id="6" xr3:uid="{D03D1EEE-F5DB-4F7A-8790-51748D1045D6}" name="Categor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1A59-4439-4AA2-A7C3-E85DBD1CDAF0}">
  <dimension ref="A1:N35"/>
  <sheetViews>
    <sheetView tabSelected="1" topLeftCell="H1" zoomScale="110" zoomScaleNormal="110" workbookViewId="0">
      <selection activeCell="M17" sqref="M17"/>
    </sheetView>
  </sheetViews>
  <sheetFormatPr defaultRowHeight="14.5" x14ac:dyDescent="0.35"/>
  <cols>
    <col min="1" max="1" width="15.7265625" style="1" customWidth="1"/>
    <col min="2" max="2" width="6.36328125" style="1" bestFit="1" customWidth="1"/>
    <col min="3" max="3" width="15" style="1" bestFit="1" customWidth="1"/>
    <col min="4" max="4" width="8.54296875" style="1" bestFit="1" customWidth="1"/>
    <col min="5" max="5" width="15.7265625" style="1" customWidth="1"/>
    <col min="6" max="6" width="13.36328125" style="1" customWidth="1"/>
    <col min="7" max="7" width="10" style="1" customWidth="1"/>
    <col min="8" max="8" width="15.81640625" style="1" customWidth="1"/>
    <col min="9" max="9" width="10.1796875" style="1" customWidth="1"/>
    <col min="10" max="10" width="15.7265625" style="1" customWidth="1"/>
    <col min="11" max="11" width="8.7265625" style="1"/>
    <col min="12" max="12" width="20.26953125" style="1" bestFit="1" customWidth="1"/>
    <col min="13" max="13" width="18.1796875" style="1" bestFit="1" customWidth="1"/>
    <col min="14" max="16384" width="8.7265625" style="1"/>
  </cols>
  <sheetData>
    <row r="1" spans="1:14" x14ac:dyDescent="0.35">
      <c r="A1" s="8" t="s">
        <v>0</v>
      </c>
      <c r="B1" s="19" t="s">
        <v>99</v>
      </c>
      <c r="C1" s="19" t="s">
        <v>100</v>
      </c>
      <c r="D1" s="19" t="s">
        <v>101</v>
      </c>
      <c r="E1" s="9" t="s">
        <v>1</v>
      </c>
      <c r="F1" s="9" t="s">
        <v>2</v>
      </c>
      <c r="G1" s="9" t="s">
        <v>3</v>
      </c>
      <c r="H1" s="18" t="s">
        <v>96</v>
      </c>
      <c r="I1" s="9" t="s">
        <v>4</v>
      </c>
      <c r="J1" s="10" t="s">
        <v>5</v>
      </c>
    </row>
    <row r="2" spans="1:14" x14ac:dyDescent="0.35">
      <c r="A2" s="4" t="s">
        <v>6</v>
      </c>
      <c r="B2" s="4" t="str">
        <f>LEFT(Order_DB[[#This Row],[Product ID]],2)</f>
        <v>28</v>
      </c>
      <c r="C2" s="4" t="str">
        <f>RIGHT(Order_DB[[#This Row],[Product ID]],2)</f>
        <v>US</v>
      </c>
      <c r="D2" s="4" t="str">
        <f>MID(Order_DB[[#This Row],[Product ID]],4,3)</f>
        <v>JAN</v>
      </c>
      <c r="E2" s="2" t="s">
        <v>7</v>
      </c>
      <c r="F2" s="2" t="s">
        <v>8</v>
      </c>
      <c r="G2" s="2">
        <v>1000</v>
      </c>
      <c r="H2" s="2" t="str">
        <f>IF(Order_DB[[#This Row],[Price ($)]]&gt;500,"High Price","Standard Price")</f>
        <v>High Price</v>
      </c>
      <c r="I2" s="2">
        <v>30</v>
      </c>
      <c r="J2" s="6" t="s">
        <v>9</v>
      </c>
    </row>
    <row r="3" spans="1:14" x14ac:dyDescent="0.35">
      <c r="A3" s="5" t="s">
        <v>10</v>
      </c>
      <c r="B3" s="5" t="str">
        <f>LEFT(Order_DB[[#This Row],[Product ID]],2)</f>
        <v>15</v>
      </c>
      <c r="C3" s="5" t="str">
        <f>RIGHT(Order_DB[[#This Row],[Product ID]],2)</f>
        <v>US</v>
      </c>
      <c r="D3" s="5" t="str">
        <f>MID(Order_DB[[#This Row],[Product ID]],4,3)</f>
        <v>FEB</v>
      </c>
      <c r="E3" s="3" t="s">
        <v>11</v>
      </c>
      <c r="F3" s="3" t="s">
        <v>12</v>
      </c>
      <c r="G3" s="3">
        <v>80</v>
      </c>
      <c r="H3" s="2" t="str">
        <f>IF(Order_DB[[#This Row],[Price ($)]]&gt;500,"High Price","Standard Price")</f>
        <v>Standard Price</v>
      </c>
      <c r="I3" s="3">
        <v>15</v>
      </c>
      <c r="J3" s="7" t="s">
        <v>13</v>
      </c>
    </row>
    <row r="4" spans="1:14" x14ac:dyDescent="0.35">
      <c r="A4" s="4" t="s">
        <v>14</v>
      </c>
      <c r="B4" s="4" t="str">
        <f>LEFT(Order_DB[[#This Row],[Product ID]],2)</f>
        <v>03</v>
      </c>
      <c r="C4" s="4" t="str">
        <f>RIGHT(Order_DB[[#This Row],[Product ID]],2)</f>
        <v>US</v>
      </c>
      <c r="D4" s="4" t="str">
        <f>MID(Order_DB[[#This Row],[Product ID]],4,3)</f>
        <v>MAR</v>
      </c>
      <c r="E4" s="2" t="s">
        <v>15</v>
      </c>
      <c r="F4" s="2" t="s">
        <v>16</v>
      </c>
      <c r="G4" s="2">
        <v>130</v>
      </c>
      <c r="H4" s="2" t="str">
        <f>IF(Order_DB[[#This Row],[Price ($)]]&gt;500,"High Price","Standard Price")</f>
        <v>Standard Price</v>
      </c>
      <c r="I4" s="2">
        <v>40</v>
      </c>
      <c r="J4" s="6" t="s">
        <v>17</v>
      </c>
    </row>
    <row r="5" spans="1:14" x14ac:dyDescent="0.35">
      <c r="A5" s="5" t="s">
        <v>18</v>
      </c>
      <c r="B5" s="5" t="str">
        <f>LEFT(Order_DB[[#This Row],[Product ID]],2)</f>
        <v>11</v>
      </c>
      <c r="C5" s="5" t="str">
        <f>RIGHT(Order_DB[[#This Row],[Product ID]],2)</f>
        <v>US</v>
      </c>
      <c r="D5" s="5" t="str">
        <f>MID(Order_DB[[#This Row],[Product ID]],4,3)</f>
        <v>APR</v>
      </c>
      <c r="E5" s="3" t="s">
        <v>19</v>
      </c>
      <c r="F5" s="3" t="s">
        <v>20</v>
      </c>
      <c r="G5" s="3">
        <v>900</v>
      </c>
      <c r="H5" s="2" t="str">
        <f>IF(Order_DB[[#This Row],[Price ($)]]&gt;500,"High Price","Standard Price")</f>
        <v>High Price</v>
      </c>
      <c r="I5" s="3">
        <v>25</v>
      </c>
      <c r="J5" s="7" t="s">
        <v>9</v>
      </c>
      <c r="L5" s="14" t="s">
        <v>97</v>
      </c>
      <c r="M5" s="16">
        <f>SUM(Order_DB[Price ($)])</f>
        <v>10100</v>
      </c>
    </row>
    <row r="6" spans="1:14" x14ac:dyDescent="0.35">
      <c r="A6" s="4" t="s">
        <v>21</v>
      </c>
      <c r="B6" s="4" t="str">
        <f>LEFT(Order_DB[[#This Row],[Product ID]],2)</f>
        <v>22</v>
      </c>
      <c r="C6" s="4" t="str">
        <f>RIGHT(Order_DB[[#This Row],[Product ID]],2)</f>
        <v>US</v>
      </c>
      <c r="D6" s="4" t="str">
        <f>MID(Order_DB[[#This Row],[Product ID]],4,3)</f>
        <v>MAY</v>
      </c>
      <c r="E6" s="2" t="s">
        <v>22</v>
      </c>
      <c r="F6" s="2" t="s">
        <v>23</v>
      </c>
      <c r="G6" s="2">
        <v>70</v>
      </c>
      <c r="H6" s="2" t="str">
        <f>IF(Order_DB[[#This Row],[Price ($)]]&gt;500,"High Price","Standard Price")</f>
        <v>Standard Price</v>
      </c>
      <c r="I6" s="2">
        <v>20</v>
      </c>
      <c r="J6" s="6" t="s">
        <v>24</v>
      </c>
    </row>
    <row r="7" spans="1:14" x14ac:dyDescent="0.35">
      <c r="A7" s="5" t="s">
        <v>25</v>
      </c>
      <c r="B7" s="5" t="str">
        <f>LEFT(Order_DB[[#This Row],[Product ID]],2)</f>
        <v>07</v>
      </c>
      <c r="C7" s="5" t="str">
        <f>RIGHT(Order_DB[[#This Row],[Product ID]],2)</f>
        <v>UK</v>
      </c>
      <c r="D7" s="5" t="str">
        <f>MID(Order_DB[[#This Row],[Product ID]],4,3)</f>
        <v>JUN</v>
      </c>
      <c r="E7" s="3" t="s">
        <v>26</v>
      </c>
      <c r="F7" s="3" t="s">
        <v>27</v>
      </c>
      <c r="G7" s="3">
        <v>200</v>
      </c>
      <c r="H7" s="2" t="str">
        <f>IF(Order_DB[[#This Row],[Price ($)]]&gt;500,"High Price","Standard Price")</f>
        <v>Standard Price</v>
      </c>
      <c r="I7" s="3">
        <v>45</v>
      </c>
      <c r="J7" s="7" t="s">
        <v>9</v>
      </c>
      <c r="L7" s="20" t="s">
        <v>93</v>
      </c>
      <c r="M7" s="20"/>
      <c r="N7" s="16">
        <f>COUNT(Order_DB[Quantity])</f>
        <v>34</v>
      </c>
    </row>
    <row r="8" spans="1:14" x14ac:dyDescent="0.35">
      <c r="A8" s="4" t="s">
        <v>28</v>
      </c>
      <c r="B8" s="4" t="str">
        <f>LEFT(Order_DB[[#This Row],[Product ID]],2)</f>
        <v>19</v>
      </c>
      <c r="C8" s="4" t="str">
        <f>RIGHT(Order_DB[[#This Row],[Product ID]],2)</f>
        <v>UK</v>
      </c>
      <c r="D8" s="4" t="str">
        <f>MID(Order_DB[[#This Row],[Product ID]],4,3)</f>
        <v>JUL</v>
      </c>
      <c r="E8" s="2" t="s">
        <v>29</v>
      </c>
      <c r="F8" s="2" t="s">
        <v>30</v>
      </c>
      <c r="G8" s="2">
        <v>30</v>
      </c>
      <c r="H8" s="2" t="str">
        <f>IF(Order_DB[[#This Row],[Price ($)]]&gt;500,"High Price","Standard Price")</f>
        <v>Standard Price</v>
      </c>
      <c r="I8" s="2">
        <v>5</v>
      </c>
      <c r="J8" s="6" t="s">
        <v>13</v>
      </c>
      <c r="L8" s="15" t="s">
        <v>9</v>
      </c>
      <c r="M8" s="16">
        <f>COUNTIF(Order_DB[Category],L8)</f>
        <v>15</v>
      </c>
    </row>
    <row r="9" spans="1:14" x14ac:dyDescent="0.35">
      <c r="A9" s="5" t="s">
        <v>31</v>
      </c>
      <c r="B9" s="5" t="str">
        <f>LEFT(Order_DB[[#This Row],[Product ID]],2)</f>
        <v>23</v>
      </c>
      <c r="C9" s="5" t="str">
        <f>RIGHT(Order_DB[[#This Row],[Product ID]],2)</f>
        <v>UK</v>
      </c>
      <c r="D9" s="5" t="str">
        <f>MID(Order_DB[[#This Row],[Product ID]],4,3)</f>
        <v>AUG</v>
      </c>
      <c r="E9" s="3" t="s">
        <v>32</v>
      </c>
      <c r="F9" s="3" t="s">
        <v>33</v>
      </c>
      <c r="G9" s="3">
        <v>90</v>
      </c>
      <c r="H9" s="2" t="str">
        <f>IF(Order_DB[[#This Row],[Price ($)]]&gt;500,"High Price","Standard Price")</f>
        <v>Standard Price</v>
      </c>
      <c r="I9" s="3">
        <v>35</v>
      </c>
      <c r="J9" s="7" t="s">
        <v>17</v>
      </c>
      <c r="L9" s="3" t="s">
        <v>13</v>
      </c>
      <c r="M9" s="16">
        <f>COUNTIF(Order_DB[Category],L9)</f>
        <v>7</v>
      </c>
    </row>
    <row r="10" spans="1:14" x14ac:dyDescent="0.35">
      <c r="A10" s="4" t="s">
        <v>34</v>
      </c>
      <c r="B10" s="4" t="str">
        <f>LEFT(Order_DB[[#This Row],[Product ID]],2)</f>
        <v>05</v>
      </c>
      <c r="C10" s="4" t="str">
        <f>RIGHT(Order_DB[[#This Row],[Product ID]],2)</f>
        <v>UK</v>
      </c>
      <c r="D10" s="4" t="str">
        <f>MID(Order_DB[[#This Row],[Product ID]],4,3)</f>
        <v>SEP</v>
      </c>
      <c r="E10" s="2" t="s">
        <v>35</v>
      </c>
      <c r="F10" s="2" t="s">
        <v>36</v>
      </c>
      <c r="G10" s="2">
        <v>500</v>
      </c>
      <c r="H10" s="2" t="str">
        <f>IF(Order_DB[[#This Row],[Price ($)]]&gt;500,"High Price","Standard Price")</f>
        <v>Standard Price</v>
      </c>
      <c r="I10" s="2">
        <v>50</v>
      </c>
      <c r="J10" s="6" t="s">
        <v>9</v>
      </c>
      <c r="L10" s="15" t="s">
        <v>17</v>
      </c>
      <c r="M10" s="16">
        <f>COUNTIF(Order_DB[Category],L10)</f>
        <v>6</v>
      </c>
    </row>
    <row r="11" spans="1:14" x14ac:dyDescent="0.35">
      <c r="A11" s="5" t="s">
        <v>37</v>
      </c>
      <c r="B11" s="5" t="str">
        <f>LEFT(Order_DB[[#This Row],[Product ID]],2)</f>
        <v>14</v>
      </c>
      <c r="C11" s="5" t="str">
        <f>RIGHT(Order_DB[[#This Row],[Product ID]],2)</f>
        <v>UK</v>
      </c>
      <c r="D11" s="5" t="str">
        <f>MID(Order_DB[[#This Row],[Product ID]],4,3)</f>
        <v>OCT</v>
      </c>
      <c r="E11" s="3" t="s">
        <v>38</v>
      </c>
      <c r="F11" s="3" t="s">
        <v>39</v>
      </c>
      <c r="G11" s="3">
        <v>130</v>
      </c>
      <c r="H11" s="2" t="str">
        <f>IF(Order_DB[[#This Row],[Price ($)]]&gt;500,"High Price","Standard Price")</f>
        <v>Standard Price</v>
      </c>
      <c r="I11" s="3">
        <v>10</v>
      </c>
      <c r="J11" s="7" t="s">
        <v>24</v>
      </c>
      <c r="L11" s="15" t="s">
        <v>24</v>
      </c>
      <c r="M11" s="16">
        <f>COUNTIF(Order_DB[Category],L11)</f>
        <v>3</v>
      </c>
    </row>
    <row r="12" spans="1:14" x14ac:dyDescent="0.35">
      <c r="A12" s="4" t="s">
        <v>40</v>
      </c>
      <c r="B12" s="4" t="str">
        <f>LEFT(Order_DB[[#This Row],[Product ID]],2)</f>
        <v>17</v>
      </c>
      <c r="C12" s="4" t="str">
        <f>RIGHT(Order_DB[[#This Row],[Product ID]],2)</f>
        <v>IN</v>
      </c>
      <c r="D12" s="4" t="str">
        <f>MID(Order_DB[[#This Row],[Product ID]],4,3)</f>
        <v>JUN</v>
      </c>
      <c r="E12" s="2" t="s">
        <v>7</v>
      </c>
      <c r="F12" s="2" t="s">
        <v>41</v>
      </c>
      <c r="G12" s="2">
        <v>950</v>
      </c>
      <c r="H12" s="2" t="str">
        <f>IF(Order_DB[[#This Row],[Price ($)]]&gt;500,"High Price","Standard Price")</f>
        <v>High Price</v>
      </c>
      <c r="I12" s="2">
        <v>25</v>
      </c>
      <c r="J12" s="6" t="s">
        <v>9</v>
      </c>
      <c r="L12" s="3" t="s">
        <v>53</v>
      </c>
      <c r="M12" s="16">
        <f>COUNTIF(Order_DB[Category],L12)</f>
        <v>3</v>
      </c>
    </row>
    <row r="13" spans="1:14" x14ac:dyDescent="0.35">
      <c r="A13" s="5" t="s">
        <v>42</v>
      </c>
      <c r="B13" s="5" t="str">
        <f>LEFT(Order_DB[[#This Row],[Product ID]],2)</f>
        <v>25</v>
      </c>
      <c r="C13" s="5" t="str">
        <f>RIGHT(Order_DB[[#This Row],[Product ID]],2)</f>
        <v>AU</v>
      </c>
      <c r="D13" s="5" t="str">
        <f>MID(Order_DB[[#This Row],[Product ID]],4,3)</f>
        <v>NOV</v>
      </c>
      <c r="E13" s="3" t="s">
        <v>11</v>
      </c>
      <c r="F13" s="3" t="s">
        <v>30</v>
      </c>
      <c r="G13" s="3">
        <v>90</v>
      </c>
      <c r="H13" s="2" t="str">
        <f>IF(Order_DB[[#This Row],[Price ($)]]&gt;500,"High Price","Standard Price")</f>
        <v>Standard Price</v>
      </c>
      <c r="I13" s="3">
        <v>40</v>
      </c>
      <c r="J13" s="7" t="s">
        <v>13</v>
      </c>
    </row>
    <row r="14" spans="1:14" x14ac:dyDescent="0.35">
      <c r="A14" s="4" t="s">
        <v>43</v>
      </c>
      <c r="B14" s="4" t="str">
        <f>LEFT(Order_DB[[#This Row],[Product ID]],2)</f>
        <v>08</v>
      </c>
      <c r="C14" s="4" t="str">
        <f>RIGHT(Order_DB[[#This Row],[Product ID]],2)</f>
        <v>DE</v>
      </c>
      <c r="D14" s="4" t="str">
        <f>MID(Order_DB[[#This Row],[Product ID]],4,3)</f>
        <v>DEC</v>
      </c>
      <c r="E14" s="2" t="s">
        <v>15</v>
      </c>
      <c r="F14" s="2" t="s">
        <v>44</v>
      </c>
      <c r="G14" s="2">
        <v>120</v>
      </c>
      <c r="H14" s="2" t="str">
        <f>IF(Order_DB[[#This Row],[Price ($)]]&gt;500,"High Price","Standard Price")</f>
        <v>Standard Price</v>
      </c>
      <c r="I14" s="2">
        <v>35</v>
      </c>
      <c r="J14" s="6" t="s">
        <v>17</v>
      </c>
      <c r="L14" s="20" t="s">
        <v>102</v>
      </c>
      <c r="M14" s="20"/>
      <c r="N14" s="16">
        <f>AVERAGE(Order_DB[Price ($)])</f>
        <v>297.05882352941177</v>
      </c>
    </row>
    <row r="15" spans="1:14" x14ac:dyDescent="0.35">
      <c r="A15" s="5" t="s">
        <v>45</v>
      </c>
      <c r="B15" s="5" t="str">
        <f>LEFT(Order_DB[[#This Row],[Product ID]],2)</f>
        <v>18</v>
      </c>
      <c r="C15" s="5" t="str">
        <f>RIGHT(Order_DB[[#This Row],[Product ID]],2)</f>
        <v>CA</v>
      </c>
      <c r="D15" s="5" t="str">
        <f>MID(Order_DB[[#This Row],[Product ID]],4,3)</f>
        <v>FEB</v>
      </c>
      <c r="E15" s="3" t="s">
        <v>46</v>
      </c>
      <c r="F15" s="3" t="s">
        <v>47</v>
      </c>
      <c r="G15" s="3">
        <v>150</v>
      </c>
      <c r="H15" s="2" t="str">
        <f>IF(Order_DB[[#This Row],[Price ($)]]&gt;500,"High Price","Standard Price")</f>
        <v>Standard Price</v>
      </c>
      <c r="I15" s="3">
        <v>15</v>
      </c>
      <c r="J15" s="7" t="s">
        <v>9</v>
      </c>
      <c r="L15" s="15" t="s">
        <v>9</v>
      </c>
      <c r="M15" s="16">
        <f>AVERAGEIF(Order_DB[Category],"Electronics",Order_DB[Price ($)])</f>
        <v>536.66666666666663</v>
      </c>
    </row>
    <row r="16" spans="1:14" x14ac:dyDescent="0.35">
      <c r="A16" s="4" t="s">
        <v>48</v>
      </c>
      <c r="B16" s="4" t="str">
        <f>LEFT(Order_DB[[#This Row],[Product ID]],2)</f>
        <v>16</v>
      </c>
      <c r="C16" s="4" t="str">
        <f>RIGHT(Order_DB[[#This Row],[Product ID]],2)</f>
        <v>ES</v>
      </c>
      <c r="D16" s="4" t="str">
        <f>MID(Order_DB[[#This Row],[Product ID]],4,3)</f>
        <v>APR</v>
      </c>
      <c r="E16" s="2" t="s">
        <v>26</v>
      </c>
      <c r="F16" s="2" t="s">
        <v>49</v>
      </c>
      <c r="G16" s="2">
        <v>250</v>
      </c>
      <c r="H16" s="2" t="str">
        <f>IF(Order_DB[[#This Row],[Price ($)]]&gt;500,"High Price","Standard Price")</f>
        <v>Standard Price</v>
      </c>
      <c r="I16" s="2">
        <v>20</v>
      </c>
      <c r="J16" s="6" t="s">
        <v>9</v>
      </c>
      <c r="L16" s="3" t="s">
        <v>13</v>
      </c>
      <c r="M16" s="16">
        <f>AVERAGEIF(Order_DB[Category],"Fashion",Order_DB[Price ($)])</f>
        <v>84.285714285714292</v>
      </c>
    </row>
    <row r="17" spans="1:14" x14ac:dyDescent="0.35">
      <c r="A17" s="5" t="s">
        <v>50</v>
      </c>
      <c r="B17" s="5" t="str">
        <f>LEFT(Order_DB[[#This Row],[Product ID]],2)</f>
        <v>21</v>
      </c>
      <c r="C17" s="5" t="str">
        <f>RIGHT(Order_DB[[#This Row],[Product ID]],2)</f>
        <v>CA</v>
      </c>
      <c r="D17" s="5" t="str">
        <f>MID(Order_DB[[#This Row],[Product ID]],4,3)</f>
        <v>AUG</v>
      </c>
      <c r="E17" s="3" t="s">
        <v>51</v>
      </c>
      <c r="F17" s="3" t="s">
        <v>52</v>
      </c>
      <c r="G17" s="3">
        <v>50</v>
      </c>
      <c r="H17" s="2" t="str">
        <f>IF(Order_DB[[#This Row],[Price ($)]]&gt;500,"High Price","Standard Price")</f>
        <v>Standard Price</v>
      </c>
      <c r="I17" s="3">
        <v>35</v>
      </c>
      <c r="J17" s="7" t="s">
        <v>53</v>
      </c>
      <c r="L17" s="15" t="s">
        <v>17</v>
      </c>
      <c r="M17" s="16">
        <f>AVERAGEIF(Order_DB[Category],"Kitchen",Order_DB[Price ($)])</f>
        <v>143.33333333333334</v>
      </c>
    </row>
    <row r="18" spans="1:14" x14ac:dyDescent="0.35">
      <c r="A18" s="4" t="s">
        <v>54</v>
      </c>
      <c r="B18" s="4" t="str">
        <f>LEFT(Order_DB[[#This Row],[Product ID]],2)</f>
        <v>20</v>
      </c>
      <c r="C18" s="4" t="str">
        <f>RIGHT(Order_DB[[#This Row],[Product ID]],2)</f>
        <v>CN</v>
      </c>
      <c r="D18" s="4" t="str">
        <f>MID(Order_DB[[#This Row],[Product ID]],4,3)</f>
        <v>AUG</v>
      </c>
      <c r="E18" s="2" t="s">
        <v>46</v>
      </c>
      <c r="F18" s="2" t="s">
        <v>55</v>
      </c>
      <c r="G18" s="2">
        <v>160</v>
      </c>
      <c r="H18" s="2" t="str">
        <f>IF(Order_DB[[#This Row],[Price ($)]]&gt;500,"High Price","Standard Price")</f>
        <v>Standard Price</v>
      </c>
      <c r="I18" s="2">
        <v>15</v>
      </c>
      <c r="J18" s="6" t="s">
        <v>9</v>
      </c>
      <c r="L18" s="15" t="s">
        <v>24</v>
      </c>
      <c r="M18" s="16">
        <f>AVERAGEIF(Order_DB[Category],"Outdoor",Order_DB[Price ($)])</f>
        <v>133.33333333333334</v>
      </c>
    </row>
    <row r="19" spans="1:14" x14ac:dyDescent="0.35">
      <c r="A19" s="5" t="s">
        <v>56</v>
      </c>
      <c r="B19" s="5" t="str">
        <f>LEFT(Order_DB[[#This Row],[Product ID]],2)</f>
        <v>27</v>
      </c>
      <c r="C19" s="5" t="str">
        <f>RIGHT(Order_DB[[#This Row],[Product ID]],2)</f>
        <v>IT</v>
      </c>
      <c r="D19" s="5" t="str">
        <f>MID(Order_DB[[#This Row],[Product ID]],4,3)</f>
        <v>JAN</v>
      </c>
      <c r="E19" s="3" t="s">
        <v>7</v>
      </c>
      <c r="F19" s="3" t="s">
        <v>57</v>
      </c>
      <c r="G19" s="3">
        <v>980</v>
      </c>
      <c r="H19" s="2" t="str">
        <f>IF(Order_DB[[#This Row],[Price ($)]]&gt;500,"High Price","Standard Price")</f>
        <v>High Price</v>
      </c>
      <c r="I19" s="3">
        <v>10</v>
      </c>
      <c r="J19" s="7" t="s">
        <v>9</v>
      </c>
      <c r="L19" s="3" t="s">
        <v>53</v>
      </c>
      <c r="M19" s="16">
        <f>AVERAGEIF(Order_DB[Category],"Accessories",Order_DB[Price ($)])</f>
        <v>66.666666666666671</v>
      </c>
    </row>
    <row r="20" spans="1:14" x14ac:dyDescent="0.35">
      <c r="A20" s="4" t="s">
        <v>58</v>
      </c>
      <c r="B20" s="4" t="str">
        <f>LEFT(Order_DB[[#This Row],[Product ID]],2)</f>
        <v>01</v>
      </c>
      <c r="C20" s="4" t="str">
        <f>RIGHT(Order_DB[[#This Row],[Product ID]],2)</f>
        <v>UK</v>
      </c>
      <c r="D20" s="4" t="str">
        <f>MID(Order_DB[[#This Row],[Product ID]],4,3)</f>
        <v>MAR</v>
      </c>
      <c r="E20" s="2" t="s">
        <v>59</v>
      </c>
      <c r="F20" s="2" t="s">
        <v>60</v>
      </c>
      <c r="G20" s="2">
        <v>150</v>
      </c>
      <c r="H20" s="2" t="str">
        <f>IF(Order_DB[[#This Row],[Price ($)]]&gt;500,"High Price","Standard Price")</f>
        <v>Standard Price</v>
      </c>
      <c r="I20" s="2">
        <v>15</v>
      </c>
      <c r="J20" s="6" t="s">
        <v>13</v>
      </c>
    </row>
    <row r="21" spans="1:14" x14ac:dyDescent="0.35">
      <c r="A21" s="5" t="s">
        <v>61</v>
      </c>
      <c r="B21" s="5" t="str">
        <f>LEFT(Order_DB[[#This Row],[Product ID]],2)</f>
        <v>14</v>
      </c>
      <c r="C21" s="5" t="str">
        <f>RIGHT(Order_DB[[#This Row],[Product ID]],2)</f>
        <v>US</v>
      </c>
      <c r="D21" s="5" t="str">
        <f>MID(Order_DB[[#This Row],[Product ID]],4,3)</f>
        <v>AUG</v>
      </c>
      <c r="E21" s="3" t="s">
        <v>62</v>
      </c>
      <c r="F21" s="3" t="s">
        <v>63</v>
      </c>
      <c r="G21" s="3">
        <v>200</v>
      </c>
      <c r="H21" s="2" t="str">
        <f>IF(Order_DB[[#This Row],[Price ($)]]&gt;500,"High Price","Standard Price")</f>
        <v>Standard Price</v>
      </c>
      <c r="I21" s="3">
        <v>10</v>
      </c>
      <c r="J21" s="7" t="s">
        <v>24</v>
      </c>
      <c r="L21" s="17" t="s">
        <v>94</v>
      </c>
      <c r="M21" s="16">
        <f>MIN(Order_DB[Price ($)])</f>
        <v>30</v>
      </c>
    </row>
    <row r="22" spans="1:14" x14ac:dyDescent="0.35">
      <c r="A22" s="4" t="s">
        <v>64</v>
      </c>
      <c r="B22" s="4" t="str">
        <f>LEFT(Order_DB[[#This Row],[Product ID]],2)</f>
        <v>14</v>
      </c>
      <c r="C22" s="4" t="str">
        <f>RIGHT(Order_DB[[#This Row],[Product ID]],2)</f>
        <v>RU</v>
      </c>
      <c r="D22" s="4" t="str">
        <f>MID(Order_DB[[#This Row],[Product ID]],4,3)</f>
        <v>MAY</v>
      </c>
      <c r="E22" s="2" t="s">
        <v>65</v>
      </c>
      <c r="F22" s="2" t="s">
        <v>66</v>
      </c>
      <c r="G22" s="2">
        <v>700</v>
      </c>
      <c r="H22" s="2" t="str">
        <f>IF(Order_DB[[#This Row],[Price ($)]]&gt;500,"High Price","Standard Price")</f>
        <v>High Price</v>
      </c>
      <c r="I22" s="2">
        <v>50</v>
      </c>
      <c r="J22" s="6" t="s">
        <v>9</v>
      </c>
      <c r="L22" s="17" t="s">
        <v>95</v>
      </c>
      <c r="M22" s="16">
        <f>MAX(Order_DB[Price ($)])</f>
        <v>1000</v>
      </c>
    </row>
    <row r="23" spans="1:14" x14ac:dyDescent="0.35">
      <c r="A23" s="5" t="s">
        <v>67</v>
      </c>
      <c r="B23" s="5" t="str">
        <f>LEFT(Order_DB[[#This Row],[Product ID]],2)</f>
        <v>09</v>
      </c>
      <c r="C23" s="5" t="str">
        <f>RIGHT(Order_DB[[#This Row],[Product ID]],2)</f>
        <v>CA</v>
      </c>
      <c r="D23" s="5" t="str">
        <f>MID(Order_DB[[#This Row],[Product ID]],4,3)</f>
        <v>JAN</v>
      </c>
      <c r="E23" s="3" t="s">
        <v>68</v>
      </c>
      <c r="F23" s="3" t="s">
        <v>69</v>
      </c>
      <c r="G23" s="3">
        <v>80</v>
      </c>
      <c r="H23" s="2" t="str">
        <f>IF(Order_DB[[#This Row],[Price ($)]]&gt;500,"High Price","Standard Price")</f>
        <v>Standard Price</v>
      </c>
      <c r="I23" s="3">
        <v>20</v>
      </c>
      <c r="J23" s="7" t="s">
        <v>17</v>
      </c>
    </row>
    <row r="24" spans="1:14" x14ac:dyDescent="0.35">
      <c r="A24" s="4" t="s">
        <v>70</v>
      </c>
      <c r="B24" s="4" t="str">
        <f>LEFT(Order_DB[[#This Row],[Product ID]],2)</f>
        <v>19</v>
      </c>
      <c r="C24" s="4" t="str">
        <f>RIGHT(Order_DB[[#This Row],[Product ID]],2)</f>
        <v>BR</v>
      </c>
      <c r="D24" s="4" t="str">
        <f>MID(Order_DB[[#This Row],[Product ID]],4,3)</f>
        <v>JUL</v>
      </c>
      <c r="E24" s="2" t="s">
        <v>71</v>
      </c>
      <c r="F24" s="2" t="s">
        <v>72</v>
      </c>
      <c r="G24" s="2">
        <v>150</v>
      </c>
      <c r="H24" s="2" t="str">
        <f>IF(Order_DB[[#This Row],[Price ($)]]&gt;500,"High Price","Standard Price")</f>
        <v>Standard Price</v>
      </c>
      <c r="I24" s="2">
        <v>30</v>
      </c>
      <c r="J24" s="6" t="s">
        <v>9</v>
      </c>
      <c r="L24" s="20" t="s">
        <v>97</v>
      </c>
      <c r="M24" s="20"/>
    </row>
    <row r="25" spans="1:14" x14ac:dyDescent="0.35">
      <c r="A25" s="5" t="s">
        <v>50</v>
      </c>
      <c r="B25" s="5" t="str">
        <f>LEFT(Order_DB[[#This Row],[Product ID]],2)</f>
        <v>21</v>
      </c>
      <c r="C25" s="5" t="str">
        <f>RIGHT(Order_DB[[#This Row],[Product ID]],2)</f>
        <v>CA</v>
      </c>
      <c r="D25" s="5" t="str">
        <f>MID(Order_DB[[#This Row],[Product ID]],4,3)</f>
        <v>AUG</v>
      </c>
      <c r="E25" s="3" t="s">
        <v>51</v>
      </c>
      <c r="F25" s="3" t="s">
        <v>52</v>
      </c>
      <c r="G25" s="3">
        <v>50</v>
      </c>
      <c r="H25" s="2" t="str">
        <f>IF(Order_DB[[#This Row],[Price ($)]]&gt;500,"High Price","Standard Price")</f>
        <v>Standard Price</v>
      </c>
      <c r="I25" s="3">
        <v>35</v>
      </c>
      <c r="J25" s="7" t="s">
        <v>53</v>
      </c>
      <c r="L25" s="15" t="s">
        <v>9</v>
      </c>
      <c r="M25" s="16">
        <f>SUMIF(Order_DB[Category],"Electronics",(Order_DB[Price ($)]))</f>
        <v>8050</v>
      </c>
    </row>
    <row r="26" spans="1:14" x14ac:dyDescent="0.35">
      <c r="A26" s="4" t="s">
        <v>73</v>
      </c>
      <c r="B26" s="4" t="str">
        <f>LEFT(Order_DB[[#This Row],[Product ID]],2)</f>
        <v>29</v>
      </c>
      <c r="C26" s="4" t="str">
        <f>RIGHT(Order_DB[[#This Row],[Product ID]],2)</f>
        <v>CA</v>
      </c>
      <c r="D26" s="4" t="str">
        <f>MID(Order_DB[[#This Row],[Product ID]],4,3)</f>
        <v>SEP</v>
      </c>
      <c r="E26" s="2" t="s">
        <v>19</v>
      </c>
      <c r="F26" s="2" t="s">
        <v>74</v>
      </c>
      <c r="G26" s="2">
        <v>800</v>
      </c>
      <c r="H26" s="2" t="str">
        <f>IF(Order_DB[[#This Row],[Price ($)]]&gt;500,"High Price","Standard Price")</f>
        <v>High Price</v>
      </c>
      <c r="I26" s="2">
        <v>45</v>
      </c>
      <c r="J26" s="6" t="s">
        <v>9</v>
      </c>
    </row>
    <row r="27" spans="1:14" x14ac:dyDescent="0.35">
      <c r="A27" s="5" t="s">
        <v>75</v>
      </c>
      <c r="B27" s="5" t="str">
        <f>LEFT(Order_DB[[#This Row],[Product ID]],2)</f>
        <v>03</v>
      </c>
      <c r="C27" s="5" t="str">
        <f>RIGHT(Order_DB[[#This Row],[Product ID]],2)</f>
        <v>CA</v>
      </c>
      <c r="D27" s="5" t="str">
        <f>MID(Order_DB[[#This Row],[Product ID]],4,3)</f>
        <v>JUN</v>
      </c>
      <c r="E27" s="3" t="s">
        <v>59</v>
      </c>
      <c r="F27" s="3" t="s">
        <v>76</v>
      </c>
      <c r="G27" s="3">
        <v>130</v>
      </c>
      <c r="H27" s="2" t="str">
        <f>IF(Order_DB[[#This Row],[Price ($)]]&gt;500,"High Price","Standard Price")</f>
        <v>Standard Price</v>
      </c>
      <c r="I27" s="3">
        <v>25</v>
      </c>
      <c r="J27" s="7" t="s">
        <v>13</v>
      </c>
      <c r="L27" s="21" t="s">
        <v>98</v>
      </c>
      <c r="M27" s="21"/>
      <c r="N27" s="16">
        <f>COUNTIF(Order_DB[Price ($)],"&lt;100")</f>
        <v>11</v>
      </c>
    </row>
    <row r="28" spans="1:14" x14ac:dyDescent="0.35">
      <c r="A28" s="4" t="s">
        <v>77</v>
      </c>
      <c r="B28" s="4" t="str">
        <f>LEFT(Order_DB[[#This Row],[Product ID]],2)</f>
        <v>11</v>
      </c>
      <c r="C28" s="4" t="str">
        <f>RIGHT(Order_DB[[#This Row],[Product ID]],2)</f>
        <v>CA</v>
      </c>
      <c r="D28" s="4" t="str">
        <f>MID(Order_DB[[#This Row],[Product ID]],4,3)</f>
        <v>JUL</v>
      </c>
      <c r="E28" s="2" t="s">
        <v>32</v>
      </c>
      <c r="F28" s="2" t="s">
        <v>78</v>
      </c>
      <c r="G28" s="2">
        <v>400</v>
      </c>
      <c r="H28" s="2" t="str">
        <f>IF(Order_DB[[#This Row],[Price ($)]]&gt;500,"High Price","Standard Price")</f>
        <v>Standard Price</v>
      </c>
      <c r="I28" s="2">
        <v>40</v>
      </c>
      <c r="J28" s="6" t="s">
        <v>17</v>
      </c>
    </row>
    <row r="29" spans="1:14" x14ac:dyDescent="0.35">
      <c r="A29" s="5" t="s">
        <v>48</v>
      </c>
      <c r="B29" s="5" t="str">
        <f>LEFT(Order_DB[[#This Row],[Product ID]],2)</f>
        <v>16</v>
      </c>
      <c r="C29" s="5" t="str">
        <f>RIGHT(Order_DB[[#This Row],[Product ID]],2)</f>
        <v>ES</v>
      </c>
      <c r="D29" s="5" t="str">
        <f>MID(Order_DB[[#This Row],[Product ID]],4,3)</f>
        <v>APR</v>
      </c>
      <c r="E29" s="3" t="s">
        <v>26</v>
      </c>
      <c r="F29" s="3" t="s">
        <v>49</v>
      </c>
      <c r="G29" s="3">
        <v>230</v>
      </c>
      <c r="H29" s="2" t="str">
        <f>IF(Order_DB[[#This Row],[Price ($)]]&gt;500,"High Price","Standard Price")</f>
        <v>Standard Price</v>
      </c>
      <c r="I29" s="3">
        <v>20</v>
      </c>
      <c r="J29" s="7" t="s">
        <v>9</v>
      </c>
    </row>
    <row r="30" spans="1:14" x14ac:dyDescent="0.35">
      <c r="A30" s="4" t="s">
        <v>79</v>
      </c>
      <c r="B30" s="4" t="str">
        <f>LEFT(Order_DB[[#This Row],[Product ID]],2)</f>
        <v>07</v>
      </c>
      <c r="C30" s="4" t="str">
        <f>RIGHT(Order_DB[[#This Row],[Product ID]],2)</f>
        <v>CA</v>
      </c>
      <c r="D30" s="4" t="str">
        <f>MID(Order_DB[[#This Row],[Product ID]],4,3)</f>
        <v>MAR</v>
      </c>
      <c r="E30" s="2" t="s">
        <v>80</v>
      </c>
      <c r="F30" s="2" t="s">
        <v>81</v>
      </c>
      <c r="G30" s="2">
        <v>60</v>
      </c>
      <c r="H30" s="2" t="str">
        <f>IF(Order_DB[[#This Row],[Price ($)]]&gt;500,"High Price","Standard Price")</f>
        <v>Standard Price</v>
      </c>
      <c r="I30" s="2">
        <v>30</v>
      </c>
      <c r="J30" s="6" t="s">
        <v>13</v>
      </c>
    </row>
    <row r="31" spans="1:14" x14ac:dyDescent="0.35">
      <c r="A31" s="5" t="s">
        <v>82</v>
      </c>
      <c r="B31" s="5" t="str">
        <f>LEFT(Order_DB[[#This Row],[Product ID]],2)</f>
        <v>13</v>
      </c>
      <c r="C31" s="5" t="str">
        <f>RIGHT(Order_DB[[#This Row],[Product ID]],2)</f>
        <v>CA</v>
      </c>
      <c r="D31" s="5" t="str">
        <f>MID(Order_DB[[#This Row],[Product ID]],4,3)</f>
        <v>APR</v>
      </c>
      <c r="E31" s="3" t="s">
        <v>83</v>
      </c>
      <c r="F31" s="3" t="s">
        <v>84</v>
      </c>
      <c r="G31" s="3">
        <v>40</v>
      </c>
      <c r="H31" s="2" t="str">
        <f>IF(Order_DB[[#This Row],[Price ($)]]&gt;500,"High Price","Standard Price")</f>
        <v>Standard Price</v>
      </c>
      <c r="I31" s="3">
        <v>10</v>
      </c>
      <c r="J31" s="7" t="s">
        <v>17</v>
      </c>
    </row>
    <row r="32" spans="1:14" x14ac:dyDescent="0.35">
      <c r="A32" s="4" t="s">
        <v>85</v>
      </c>
      <c r="B32" s="4" t="str">
        <f>LEFT(Order_DB[[#This Row],[Product ID]],2)</f>
        <v>24</v>
      </c>
      <c r="C32" s="4" t="str">
        <f>RIGHT(Order_DB[[#This Row],[Product ID]],2)</f>
        <v>CA</v>
      </c>
      <c r="D32" s="4" t="str">
        <f>MID(Order_DB[[#This Row],[Product ID]],4,3)</f>
        <v>MAY</v>
      </c>
      <c r="E32" s="2" t="s">
        <v>71</v>
      </c>
      <c r="F32" s="2" t="s">
        <v>86</v>
      </c>
      <c r="G32" s="2">
        <v>130</v>
      </c>
      <c r="H32" s="2" t="str">
        <f>IF(Order_DB[[#This Row],[Price ($)]]&gt;500,"High Price","Standard Price")</f>
        <v>Standard Price</v>
      </c>
      <c r="I32" s="2">
        <v>5</v>
      </c>
      <c r="J32" s="6" t="s">
        <v>9</v>
      </c>
    </row>
    <row r="33" spans="1:10" x14ac:dyDescent="0.35">
      <c r="A33" s="5" t="s">
        <v>87</v>
      </c>
      <c r="B33" s="5" t="str">
        <f>LEFT(Order_DB[[#This Row],[Product ID]],2)</f>
        <v>02</v>
      </c>
      <c r="C33" s="5" t="str">
        <f>RIGHT(Order_DB[[#This Row],[Product ID]],2)</f>
        <v>CA</v>
      </c>
      <c r="D33" s="5" t="str">
        <f>MID(Order_DB[[#This Row],[Product ID]],4,3)</f>
        <v>DEC</v>
      </c>
      <c r="E33" s="3" t="s">
        <v>88</v>
      </c>
      <c r="F33" s="3" t="s">
        <v>89</v>
      </c>
      <c r="G33" s="3">
        <v>50</v>
      </c>
      <c r="H33" s="2" t="str">
        <f>IF(Order_DB[[#This Row],[Price ($)]]&gt;500,"High Price","Standard Price")</f>
        <v>Standard Price</v>
      </c>
      <c r="I33" s="3">
        <v>50</v>
      </c>
      <c r="J33" s="7" t="s">
        <v>13</v>
      </c>
    </row>
    <row r="34" spans="1:10" x14ac:dyDescent="0.35">
      <c r="A34" s="4" t="s">
        <v>40</v>
      </c>
      <c r="B34" s="4" t="str">
        <f>LEFT(Order_DB[[#This Row],[Product ID]],2)</f>
        <v>17</v>
      </c>
      <c r="C34" s="4" t="str">
        <f>RIGHT(Order_DB[[#This Row],[Product ID]],2)</f>
        <v>IN</v>
      </c>
      <c r="D34" s="4" t="str">
        <f>MID(Order_DB[[#This Row],[Product ID]],4,3)</f>
        <v>JUN</v>
      </c>
      <c r="E34" s="2" t="s">
        <v>7</v>
      </c>
      <c r="F34" s="2" t="s">
        <v>41</v>
      </c>
      <c r="G34" s="2">
        <v>950</v>
      </c>
      <c r="H34" s="2" t="str">
        <f>IF(Order_DB[[#This Row],[Price ($)]]&gt;500,"High Price","Standard Price")</f>
        <v>High Price</v>
      </c>
      <c r="I34" s="2">
        <v>25</v>
      </c>
      <c r="J34" s="6" t="s">
        <v>9</v>
      </c>
    </row>
    <row r="35" spans="1:10" x14ac:dyDescent="0.35">
      <c r="A35" s="11" t="s">
        <v>90</v>
      </c>
      <c r="B35" s="11" t="str">
        <f>LEFT(Order_DB[[#This Row],[Product ID]],2)</f>
        <v>09</v>
      </c>
      <c r="C35" s="11" t="str">
        <f>RIGHT(Order_DB[[#This Row],[Product ID]],2)</f>
        <v>FR</v>
      </c>
      <c r="D35" s="11" t="str">
        <f>MID(Order_DB[[#This Row],[Product ID]],4,3)</f>
        <v>JUL</v>
      </c>
      <c r="E35" s="12" t="s">
        <v>91</v>
      </c>
      <c r="F35" s="12" t="s">
        <v>92</v>
      </c>
      <c r="G35" s="12">
        <v>100</v>
      </c>
      <c r="H35" s="2" t="str">
        <f>IF(Order_DB[[#This Row],[Price ($)]]&gt;500,"High Price","Standard Price")</f>
        <v>Standard Price</v>
      </c>
      <c r="I35" s="12">
        <v>20</v>
      </c>
      <c r="J35" s="13" t="s">
        <v>53</v>
      </c>
    </row>
  </sheetData>
  <mergeCells count="4">
    <mergeCell ref="L7:M7"/>
    <mergeCell ref="L14:M14"/>
    <mergeCell ref="L24:M24"/>
    <mergeCell ref="L27:M27"/>
  </mergeCells>
  <phoneticPr fontId="5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30DEAE-372B-4FDB-90DA-2D80C85133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2026-06-04T17:47:35Z</dcterms:created>
  <dcterms:modified xsi:type="dcterms:W3CDTF">2026-06-06T16:52:52Z</dcterms:modified>
</cp:coreProperties>
</file>